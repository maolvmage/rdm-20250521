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orkspace\python\rdm-202505\rdm-20250521\rdm\nginx-data-analysis\"/>
    </mc:Choice>
  </mc:AlternateContent>
  <xr:revisionPtr revIDLastSave="0" documentId="13_ncr:1_{79368F31-5846-4BC7-9D01-64F86FA399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F48" i="1" l="1"/>
  <c r="F38" i="1"/>
  <c r="F25" i="1"/>
  <c r="F14" i="1"/>
  <c r="F2" i="1"/>
  <c r="F57" i="1"/>
  <c r="E57" i="1"/>
</calcChain>
</file>

<file path=xl/sharedStrings.xml><?xml version="1.0" encoding="utf-8"?>
<sst xmlns="http://schemas.openxmlformats.org/spreadsheetml/2006/main" count="123" uniqueCount="123">
  <si>
    <t>工号</t>
  </si>
  <si>
    <t>姓名</t>
  </si>
  <si>
    <t>IP</t>
  </si>
  <si>
    <t>访问次数</t>
  </si>
  <si>
    <t>龚升俊</t>
  </si>
  <si>
    <t>张建东</t>
  </si>
  <si>
    <t>何铭杨</t>
  </si>
  <si>
    <t>杨毅</t>
  </si>
  <si>
    <t>熊阳</t>
  </si>
  <si>
    <t>范飞飞</t>
  </si>
  <si>
    <t>余经猷</t>
  </si>
  <si>
    <t>徐冬梅</t>
  </si>
  <si>
    <t>张毅</t>
  </si>
  <si>
    <t>夏冰冰</t>
  </si>
  <si>
    <t>路晓梦</t>
  </si>
  <si>
    <t xml:space="preserve"> 王耀波 </t>
  </si>
  <si>
    <t>李凡</t>
  </si>
  <si>
    <t>李刚</t>
  </si>
  <si>
    <t>王永山</t>
  </si>
  <si>
    <t>杨帅</t>
  </si>
  <si>
    <t>张宏</t>
  </si>
  <si>
    <t>刘珣</t>
  </si>
  <si>
    <t>靖哲</t>
  </si>
  <si>
    <t>韩振国</t>
  </si>
  <si>
    <t>罗志成</t>
  </si>
  <si>
    <t>李富平</t>
  </si>
  <si>
    <t>孙业民</t>
  </si>
  <si>
    <t>张迎泽</t>
  </si>
  <si>
    <t>杨海超</t>
  </si>
  <si>
    <t>李忠鹏</t>
  </si>
  <si>
    <t>刘泽铭</t>
  </si>
  <si>
    <t>孙渝龙</t>
  </si>
  <si>
    <t>王宇</t>
  </si>
  <si>
    <t>付少波</t>
  </si>
  <si>
    <t>白海洋</t>
  </si>
  <si>
    <t>樊英</t>
  </si>
  <si>
    <t>郝文涛</t>
  </si>
  <si>
    <t>侯文广</t>
  </si>
  <si>
    <t>刘蓬</t>
  </si>
  <si>
    <t>任建强</t>
  </si>
  <si>
    <t>王贤团</t>
  </si>
  <si>
    <t>王泽文</t>
  </si>
  <si>
    <t>潘东</t>
  </si>
  <si>
    <t>刘旺</t>
  </si>
  <si>
    <t>张鹏飞</t>
  </si>
  <si>
    <t>翟盼</t>
  </si>
  <si>
    <t>192.168.170.150</t>
  </si>
  <si>
    <t>192.168.146.21</t>
  </si>
  <si>
    <t>192.168.170.129</t>
  </si>
  <si>
    <t>192.168.170.75</t>
  </si>
  <si>
    <t>192.168.170.131</t>
  </si>
  <si>
    <t>192.168.146.93</t>
  </si>
  <si>
    <t>192.168.170.44</t>
  </si>
  <si>
    <t>192.168.22.47</t>
  </si>
  <si>
    <t>192.168.22.55</t>
  </si>
  <si>
    <t>192.168.146.155</t>
  </si>
  <si>
    <t>192.168.146.99</t>
  </si>
  <si>
    <t>192.168.146.194</t>
  </si>
  <si>
    <t>192.168.146.106</t>
  </si>
  <si>
    <t>192.168.146.191</t>
  </si>
  <si>
    <t>192.168.146.171</t>
  </si>
  <si>
    <t>192.168.146.222</t>
  </si>
  <si>
    <t>192.168.146.177</t>
  </si>
  <si>
    <t>192.168.146.103</t>
  </si>
  <si>
    <t>192.168.146.198</t>
  </si>
  <si>
    <t>192.168.146.65</t>
  </si>
  <si>
    <t>192.168.22.242</t>
  </si>
  <si>
    <t>192.168.22.171</t>
  </si>
  <si>
    <t>192.168.22.149</t>
  </si>
  <si>
    <t>192.168.22.131</t>
  </si>
  <si>
    <t>192.168.146.217</t>
  </si>
  <si>
    <t>192.168.22.157</t>
  </si>
  <si>
    <t>192.168.22.121</t>
  </si>
  <si>
    <t>192.168.146.220</t>
  </si>
  <si>
    <t>192.168.22.25</t>
  </si>
  <si>
    <t>192.168.22.71</t>
  </si>
  <si>
    <t>192.168.146.153</t>
  </si>
  <si>
    <t>192.168.146.157</t>
  </si>
  <si>
    <t>192.168.146.104</t>
  </si>
  <si>
    <t>192.168.146.192</t>
  </si>
  <si>
    <t>192.168.146.193</t>
  </si>
  <si>
    <t>192.168.146.163</t>
  </si>
  <si>
    <t>192.168.146.219</t>
  </si>
  <si>
    <t>192.168.146.204</t>
  </si>
  <si>
    <t>192.168.146.205</t>
  </si>
  <si>
    <t>192.168.146.165</t>
  </si>
  <si>
    <t>192.168.146.122</t>
  </si>
  <si>
    <t>192.168.146.125</t>
  </si>
  <si>
    <t>192.168.146.140</t>
  </si>
  <si>
    <t>部门</t>
    <phoneticPr fontId="1" type="noConversion"/>
  </si>
  <si>
    <t>数据加密产品线</t>
    <phoneticPr fontId="1" type="noConversion"/>
  </si>
  <si>
    <t>数据安全治理产品线</t>
    <phoneticPr fontId="1" type="noConversion"/>
  </si>
  <si>
    <t>数据防泄漏产品线</t>
    <phoneticPr fontId="1" type="noConversion"/>
  </si>
  <si>
    <t>集中管控产品线</t>
    <phoneticPr fontId="1" type="noConversion"/>
  </si>
  <si>
    <t>数据交换产品线</t>
    <phoneticPr fontId="1" type="noConversion"/>
  </si>
  <si>
    <t>蒋维</t>
  </si>
  <si>
    <t>192.168.22.143</t>
  </si>
  <si>
    <t>张岩</t>
  </si>
  <si>
    <t>192.168.22.11</t>
  </si>
  <si>
    <t>康钧威</t>
  </si>
  <si>
    <t>192.168.22.95</t>
  </si>
  <si>
    <t>袁朝</t>
  </si>
  <si>
    <t>192.168.22.172</t>
  </si>
  <si>
    <t>厉黔龙</t>
  </si>
  <si>
    <t>192.168.22.119</t>
  </si>
  <si>
    <t>李远明</t>
  </si>
  <si>
    <t>192.168.22.202</t>
  </si>
  <si>
    <t>军工业务线</t>
    <phoneticPr fontId="1" type="noConversion"/>
  </si>
  <si>
    <t>总计</t>
    <phoneticPr fontId="1" type="noConversion"/>
  </si>
  <si>
    <t>刘丰</t>
  </si>
  <si>
    <t xml:space="preserve">192.168.146.123 </t>
  </si>
  <si>
    <t>人均次数</t>
    <phoneticPr fontId="1" type="noConversion"/>
  </si>
  <si>
    <t>陈嘉杰</t>
  </si>
  <si>
    <t>192.168.170.76</t>
  </si>
  <si>
    <t>孟凡祥</t>
  </si>
  <si>
    <t>192.168.22.53</t>
  </si>
  <si>
    <t>陈浩</t>
  </si>
  <si>
    <t>192.168.176.241</t>
  </si>
  <si>
    <t>陈远锐</t>
  </si>
  <si>
    <t>王超亚</t>
  </si>
  <si>
    <t>192.168.22.62</t>
  </si>
  <si>
    <t>陈旭阳</t>
  </si>
  <si>
    <t>192.168.22.20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</si>
</sst>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0"/>
      <name val="黑体"/>
      <family val="3"/>
      <charset val="134"/>
    </font>
    <font>
      <sz val="11"/>
      <color theme="1"/>
      <name val="黑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3" fillId="0" borderId="0" xfId="0" applyFont="1"/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176" fontId="2" fillId="2" borderId="1" xfId="0" applyNumberFormat="1" applyFont="1" applyFill="1" applyBorder="1" applyAlignment="1">
      <alignment horizontal="center" vertical="top"/>
    </xf>
    <xf numFmtId="176" fontId="3" fillId="0" borderId="1" xfId="0" applyNumberFormat="1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7"/>
  <sheetViews>
    <sheetView tabSelected="1" topLeftCell="A21" workbookViewId="0">
      <selection activeCell="S30" sqref="S30"/>
    </sheetView>
  </sheetViews>
  <sheetFormatPr defaultRowHeight="13.5" x14ac:dyDescent="0.15"/>
  <cols>
    <col min="1" max="1" width="19.375" style="2" customWidth="1"/>
    <col min="2" max="2" width="9" style="2"/>
    <col min="3" max="3" width="9.125" style="2" bestFit="1" customWidth="1"/>
    <col min="4" max="4" width="17.25" style="2" bestFit="1" customWidth="1"/>
    <col min="5" max="5" width="9.875" style="2" customWidth="1"/>
    <col min="6" max="16384" width="9" style="2"/>
  </cols>
  <sheetData>
    <row r="1" spans="1:6" x14ac:dyDescent="0.15">
      <c r="A1" s="1" t="s">
        <v>89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111</v>
      </c>
    </row>
    <row r="2" spans="1:6" x14ac:dyDescent="0.15">
      <c r="A2" s="12" t="s">
        <v>90</v>
      </c>
      <c r="B2" s="4">
        <v>555</v>
      </c>
      <c r="C2" s="4" t="s">
        <v>4</v>
      </c>
      <c r="D2" s="4" t="s">
        <v>46</v>
      </c>
      <c r="E2" s="4">
        <v>13</v>
      </c>
      <c r="F2" s="7">
        <f>SUM(E2:E13)/12</f>
        <v>4.833333333333333</v>
      </c>
    </row>
    <row r="3" spans="1:6" x14ac:dyDescent="0.15">
      <c r="A3" s="12"/>
      <c r="B3" s="4">
        <v>2226</v>
      </c>
      <c r="C3" s="4" t="s">
        <v>5</v>
      </c>
      <c r="D3" s="4" t="s">
        <v>47</v>
      </c>
      <c r="E3" s="4">
        <v>0</v>
      </c>
      <c r="F3" s="7"/>
    </row>
    <row r="4" spans="1:6" x14ac:dyDescent="0.15">
      <c r="A4" s="12"/>
      <c r="B4" s="4">
        <v>2231</v>
      </c>
      <c r="C4" s="4" t="s">
        <v>6</v>
      </c>
      <c r="D4" s="4" t="s">
        <v>48</v>
      </c>
      <c r="E4" s="4">
        <v>0</v>
      </c>
      <c r="F4" s="7"/>
    </row>
    <row r="5" spans="1:6" x14ac:dyDescent="0.15">
      <c r="A5" s="12"/>
      <c r="B5" s="4">
        <v>1376</v>
      </c>
      <c r="C5" s="4" t="s">
        <v>7</v>
      </c>
      <c r="D5" s="4" t="s">
        <v>49</v>
      </c>
      <c r="E5" s="4">
        <v>0</v>
      </c>
      <c r="F5" s="7"/>
    </row>
    <row r="6" spans="1:6" x14ac:dyDescent="0.15">
      <c r="A6" s="12"/>
      <c r="B6" s="4">
        <v>2232</v>
      </c>
      <c r="C6" s="4" t="s">
        <v>8</v>
      </c>
      <c r="D6" s="4" t="s">
        <v>50</v>
      </c>
      <c r="E6" s="4">
        <v>0</v>
      </c>
      <c r="F6" s="7"/>
    </row>
    <row r="7" spans="1:6" x14ac:dyDescent="0.15">
      <c r="A7" s="12"/>
      <c r="B7" s="4">
        <v>1503</v>
      </c>
      <c r="C7" s="4" t="s">
        <v>9</v>
      </c>
      <c r="D7" s="4" t="s">
        <v>51</v>
      </c>
      <c r="E7" s="4">
        <v>0</v>
      </c>
      <c r="F7" s="7"/>
    </row>
    <row r="8" spans="1:6" x14ac:dyDescent="0.15">
      <c r="A8" s="12"/>
      <c r="B8" s="4">
        <v>1588</v>
      </c>
      <c r="C8" s="4" t="s">
        <v>10</v>
      </c>
      <c r="D8" s="4" t="s">
        <v>52</v>
      </c>
      <c r="E8" s="4">
        <v>2</v>
      </c>
      <c r="F8" s="7"/>
    </row>
    <row r="9" spans="1:6" x14ac:dyDescent="0.15">
      <c r="A9" s="12"/>
      <c r="B9" s="4">
        <v>572</v>
      </c>
      <c r="C9" s="4" t="s">
        <v>11</v>
      </c>
      <c r="D9" s="4" t="s">
        <v>54</v>
      </c>
      <c r="E9" s="4">
        <v>0</v>
      </c>
      <c r="F9" s="7"/>
    </row>
    <row r="10" spans="1:6" x14ac:dyDescent="0.15">
      <c r="A10" s="12"/>
      <c r="B10" s="4">
        <v>10263</v>
      </c>
      <c r="C10" s="4" t="s">
        <v>112</v>
      </c>
      <c r="D10" s="4" t="s">
        <v>113</v>
      </c>
      <c r="E10" s="4">
        <v>43</v>
      </c>
      <c r="F10" s="7"/>
    </row>
    <row r="11" spans="1:6" x14ac:dyDescent="0.15">
      <c r="A11" s="12"/>
      <c r="B11" s="4">
        <v>10255</v>
      </c>
      <c r="C11" s="4" t="s">
        <v>114</v>
      </c>
      <c r="D11" s="4" t="s">
        <v>115</v>
      </c>
      <c r="E11" s="4">
        <v>0</v>
      </c>
      <c r="F11" s="7"/>
    </row>
    <row r="12" spans="1:6" x14ac:dyDescent="0.15">
      <c r="A12" s="12"/>
      <c r="B12" s="4">
        <v>10256</v>
      </c>
      <c r="C12" s="4" t="s">
        <v>116</v>
      </c>
      <c r="D12" s="4" t="s">
        <v>117</v>
      </c>
      <c r="E12" s="4">
        <v>0</v>
      </c>
      <c r="F12" s="7"/>
    </row>
    <row r="13" spans="1:6" x14ac:dyDescent="0.15">
      <c r="A13" s="12"/>
      <c r="B13" s="4">
        <v>10265</v>
      </c>
      <c r="C13" s="4" t="s">
        <v>118</v>
      </c>
      <c r="D13" s="4" t="s">
        <v>53</v>
      </c>
      <c r="E13" s="4">
        <v>0</v>
      </c>
      <c r="F13" s="7"/>
    </row>
    <row r="14" spans="1:6" x14ac:dyDescent="0.15">
      <c r="A14" s="12" t="s">
        <v>91</v>
      </c>
      <c r="B14" s="4">
        <v>815</v>
      </c>
      <c r="C14" s="4" t="s">
        <v>12</v>
      </c>
      <c r="D14" s="4" t="s">
        <v>55</v>
      </c>
      <c r="E14" s="4">
        <v>0</v>
      </c>
      <c r="F14" s="7">
        <f>SUM(E14:E24)/11</f>
        <v>202.27272727272728</v>
      </c>
    </row>
    <row r="15" spans="1:6" x14ac:dyDescent="0.15">
      <c r="A15" s="12"/>
      <c r="B15" s="4">
        <v>1896</v>
      </c>
      <c r="C15" s="4" t="s">
        <v>13</v>
      </c>
      <c r="D15" s="4" t="s">
        <v>56</v>
      </c>
      <c r="E15" s="4">
        <v>1544</v>
      </c>
      <c r="F15" s="7"/>
    </row>
    <row r="16" spans="1:6" x14ac:dyDescent="0.15">
      <c r="A16" s="12"/>
      <c r="B16" s="4">
        <v>1865</v>
      </c>
      <c r="C16" s="4" t="s">
        <v>14</v>
      </c>
      <c r="D16" s="4" t="s">
        <v>57</v>
      </c>
      <c r="E16" s="4">
        <v>0</v>
      </c>
      <c r="F16" s="7"/>
    </row>
    <row r="17" spans="1:6" x14ac:dyDescent="0.15">
      <c r="A17" s="12"/>
      <c r="B17" s="4">
        <v>1973</v>
      </c>
      <c r="C17" s="4" t="s">
        <v>15</v>
      </c>
      <c r="D17" s="4" t="s">
        <v>58</v>
      </c>
      <c r="E17" s="4">
        <v>18</v>
      </c>
      <c r="F17" s="7"/>
    </row>
    <row r="18" spans="1:6" x14ac:dyDescent="0.15">
      <c r="A18" s="12"/>
      <c r="B18" s="4">
        <v>1775</v>
      </c>
      <c r="C18" s="4" t="s">
        <v>16</v>
      </c>
      <c r="D18" s="4" t="s">
        <v>59</v>
      </c>
      <c r="E18" s="4">
        <v>185</v>
      </c>
      <c r="F18" s="7"/>
    </row>
    <row r="19" spans="1:6" x14ac:dyDescent="0.15">
      <c r="A19" s="12"/>
      <c r="B19" s="4">
        <v>1567</v>
      </c>
      <c r="C19" s="4" t="s">
        <v>17</v>
      </c>
      <c r="D19" s="4" t="s">
        <v>60</v>
      </c>
      <c r="E19" s="4">
        <v>0</v>
      </c>
      <c r="F19" s="7"/>
    </row>
    <row r="20" spans="1:6" x14ac:dyDescent="0.15">
      <c r="A20" s="12"/>
      <c r="B20" s="4">
        <v>2251</v>
      </c>
      <c r="C20" s="4" t="s">
        <v>18</v>
      </c>
      <c r="D20" s="4" t="s">
        <v>61</v>
      </c>
      <c r="E20" s="4">
        <v>0</v>
      </c>
      <c r="F20" s="7"/>
    </row>
    <row r="21" spans="1:6" x14ac:dyDescent="0.15">
      <c r="A21" s="12"/>
      <c r="B21" s="4">
        <v>1963</v>
      </c>
      <c r="C21" s="4" t="s">
        <v>19</v>
      </c>
      <c r="D21" s="4" t="s">
        <v>62</v>
      </c>
      <c r="E21" s="4">
        <v>0</v>
      </c>
      <c r="F21" s="7"/>
    </row>
    <row r="22" spans="1:6" x14ac:dyDescent="0.15">
      <c r="A22" s="12"/>
      <c r="B22" s="4">
        <v>1505</v>
      </c>
      <c r="C22" s="4" t="s">
        <v>20</v>
      </c>
      <c r="D22" s="4" t="s">
        <v>63</v>
      </c>
      <c r="E22" s="4">
        <v>0</v>
      </c>
      <c r="F22" s="7"/>
    </row>
    <row r="23" spans="1:6" x14ac:dyDescent="0.15">
      <c r="A23" s="12"/>
      <c r="B23" s="4">
        <v>2200</v>
      </c>
      <c r="C23" s="4" t="s">
        <v>21</v>
      </c>
      <c r="D23" s="4" t="s">
        <v>64</v>
      </c>
      <c r="E23" s="4">
        <v>0</v>
      </c>
      <c r="F23" s="7"/>
    </row>
    <row r="24" spans="1:6" x14ac:dyDescent="0.15">
      <c r="A24" s="12"/>
      <c r="B24" s="4">
        <v>1438</v>
      </c>
      <c r="C24" s="4" t="s">
        <v>22</v>
      </c>
      <c r="D24" s="4" t="s">
        <v>65</v>
      </c>
      <c r="E24" s="4">
        <v>478</v>
      </c>
      <c r="F24" s="7"/>
    </row>
    <row r="25" spans="1:6" x14ac:dyDescent="0.15">
      <c r="A25" s="12" t="s">
        <v>92</v>
      </c>
      <c r="B25" s="4">
        <v>850</v>
      </c>
      <c r="C25" s="4" t="s">
        <v>23</v>
      </c>
      <c r="D25" s="4" t="s">
        <v>66</v>
      </c>
      <c r="E25" s="4">
        <v>0</v>
      </c>
      <c r="F25" s="7">
        <f>SUM(E25:E37)/13</f>
        <v>13</v>
      </c>
    </row>
    <row r="26" spans="1:6" x14ac:dyDescent="0.15">
      <c r="A26" s="12"/>
      <c r="B26" s="4">
        <v>856</v>
      </c>
      <c r="C26" s="4" t="s">
        <v>24</v>
      </c>
      <c r="D26" s="4" t="s">
        <v>67</v>
      </c>
      <c r="E26" s="4">
        <v>0</v>
      </c>
      <c r="F26" s="7"/>
    </row>
    <row r="27" spans="1:6" x14ac:dyDescent="0.15">
      <c r="A27" s="12"/>
      <c r="B27" s="4">
        <v>1883</v>
      </c>
      <c r="C27" s="4" t="s">
        <v>25</v>
      </c>
      <c r="D27" s="4" t="s">
        <v>68</v>
      </c>
      <c r="E27" s="4">
        <v>0</v>
      </c>
      <c r="F27" s="7"/>
    </row>
    <row r="28" spans="1:6" x14ac:dyDescent="0.15">
      <c r="A28" s="12"/>
      <c r="B28" s="4">
        <v>2140</v>
      </c>
      <c r="C28" s="4" t="s">
        <v>26</v>
      </c>
      <c r="D28" s="4" t="s">
        <v>69</v>
      </c>
      <c r="E28" s="4">
        <v>0</v>
      </c>
      <c r="F28" s="7"/>
    </row>
    <row r="29" spans="1:6" x14ac:dyDescent="0.15">
      <c r="A29" s="12"/>
      <c r="B29" s="4">
        <v>1248</v>
      </c>
      <c r="C29" s="4" t="s">
        <v>27</v>
      </c>
      <c r="D29" s="4" t="s">
        <v>70</v>
      </c>
      <c r="E29" s="4">
        <v>129</v>
      </c>
      <c r="F29" s="7"/>
    </row>
    <row r="30" spans="1:6" x14ac:dyDescent="0.15">
      <c r="A30" s="12"/>
      <c r="B30" s="4">
        <v>2253</v>
      </c>
      <c r="C30" s="4" t="s">
        <v>28</v>
      </c>
      <c r="D30" s="4" t="s">
        <v>71</v>
      </c>
      <c r="E30" s="4">
        <v>0</v>
      </c>
      <c r="F30" s="7"/>
    </row>
    <row r="31" spans="1:6" x14ac:dyDescent="0.15">
      <c r="A31" s="12"/>
      <c r="B31" s="4">
        <v>1712</v>
      </c>
      <c r="C31" s="4" t="s">
        <v>29</v>
      </c>
      <c r="D31" s="4" t="s">
        <v>72</v>
      </c>
      <c r="E31" s="4">
        <v>0</v>
      </c>
      <c r="F31" s="7"/>
    </row>
    <row r="32" spans="1:6" x14ac:dyDescent="0.15">
      <c r="A32" s="12"/>
      <c r="B32" s="4">
        <v>2242</v>
      </c>
      <c r="C32" s="4" t="s">
        <v>30</v>
      </c>
      <c r="D32" s="4" t="s">
        <v>73</v>
      </c>
      <c r="E32" s="4">
        <v>4</v>
      </c>
      <c r="F32" s="7"/>
    </row>
    <row r="33" spans="1:6" x14ac:dyDescent="0.15">
      <c r="A33" s="12"/>
      <c r="B33" s="4">
        <v>2221</v>
      </c>
      <c r="C33" s="4" t="s">
        <v>31</v>
      </c>
      <c r="D33" s="4" t="s">
        <v>74</v>
      </c>
      <c r="E33" s="4">
        <v>0</v>
      </c>
      <c r="F33" s="7"/>
    </row>
    <row r="34" spans="1:6" x14ac:dyDescent="0.15">
      <c r="A34" s="12"/>
      <c r="B34" s="4">
        <v>2065</v>
      </c>
      <c r="C34" s="4" t="s">
        <v>109</v>
      </c>
      <c r="D34" s="4" t="s">
        <v>110</v>
      </c>
      <c r="E34" s="4">
        <v>0</v>
      </c>
      <c r="F34" s="7"/>
    </row>
    <row r="35" spans="1:6" x14ac:dyDescent="0.15">
      <c r="A35" s="12"/>
      <c r="B35" s="4">
        <v>1392</v>
      </c>
      <c r="C35" s="4" t="s">
        <v>32</v>
      </c>
      <c r="D35" s="4" t="s">
        <v>75</v>
      </c>
      <c r="E35" s="4">
        <v>0</v>
      </c>
      <c r="F35" s="7"/>
    </row>
    <row r="36" spans="1:6" x14ac:dyDescent="0.15">
      <c r="A36" s="12"/>
      <c r="B36" s="4">
        <v>10258</v>
      </c>
      <c r="C36" s="4" t="s">
        <v>119</v>
      </c>
      <c r="D36" s="4" t="s">
        <v>120</v>
      </c>
      <c r="E36" s="4">
        <v>14</v>
      </c>
      <c r="F36" s="7"/>
    </row>
    <row r="37" spans="1:6" x14ac:dyDescent="0.15">
      <c r="A37" s="12"/>
      <c r="B37" s="4">
        <v>10259</v>
      </c>
      <c r="C37" s="4" t="s">
        <v>121</v>
      </c>
      <c r="D37" s="4" t="s">
        <v>122</v>
      </c>
      <c r="E37" s="4">
        <v>22</v>
      </c>
      <c r="F37" s="7"/>
    </row>
    <row r="38" spans="1:6" x14ac:dyDescent="0.15">
      <c r="A38" s="12" t="s">
        <v>93</v>
      </c>
      <c r="B38" s="4">
        <v>806</v>
      </c>
      <c r="C38" s="4" t="s">
        <v>33</v>
      </c>
      <c r="D38" s="4" t="s">
        <v>76</v>
      </c>
      <c r="E38" s="4">
        <v>5</v>
      </c>
      <c r="F38" s="7">
        <f>SUM(E38:E47)/10</f>
        <v>427.6</v>
      </c>
    </row>
    <row r="39" spans="1:6" x14ac:dyDescent="0.15">
      <c r="A39" s="12"/>
      <c r="B39" s="4">
        <v>1065</v>
      </c>
      <c r="C39" s="4" t="s">
        <v>34</v>
      </c>
      <c r="D39" s="4" t="s">
        <v>77</v>
      </c>
      <c r="E39" s="4">
        <v>0</v>
      </c>
      <c r="F39" s="7"/>
    </row>
    <row r="40" spans="1:6" x14ac:dyDescent="0.15">
      <c r="A40" s="12"/>
      <c r="B40" s="4">
        <v>1809</v>
      </c>
      <c r="C40" s="4" t="s">
        <v>35</v>
      </c>
      <c r="D40" s="4" t="s">
        <v>78</v>
      </c>
      <c r="E40" s="4">
        <v>0</v>
      </c>
      <c r="F40" s="7"/>
    </row>
    <row r="41" spans="1:6" x14ac:dyDescent="0.15">
      <c r="A41" s="12"/>
      <c r="B41" s="4">
        <v>1806</v>
      </c>
      <c r="C41" s="4" t="s">
        <v>36</v>
      </c>
      <c r="D41" s="4" t="s">
        <v>79</v>
      </c>
      <c r="E41" s="4">
        <v>1528</v>
      </c>
      <c r="F41" s="7"/>
    </row>
    <row r="42" spans="1:6" x14ac:dyDescent="0.15">
      <c r="A42" s="12"/>
      <c r="B42" s="4">
        <v>1777</v>
      </c>
      <c r="C42" s="4" t="s">
        <v>37</v>
      </c>
      <c r="D42" s="4" t="s">
        <v>80</v>
      </c>
      <c r="E42" s="4">
        <v>557</v>
      </c>
      <c r="F42" s="7"/>
    </row>
    <row r="43" spans="1:6" x14ac:dyDescent="0.15">
      <c r="A43" s="12"/>
      <c r="B43" s="4">
        <v>1281</v>
      </c>
      <c r="C43" s="4" t="s">
        <v>38</v>
      </c>
      <c r="D43" s="4" t="s">
        <v>81</v>
      </c>
      <c r="E43" s="4">
        <v>0</v>
      </c>
      <c r="F43" s="7"/>
    </row>
    <row r="44" spans="1:6" x14ac:dyDescent="0.15">
      <c r="A44" s="12"/>
      <c r="B44" s="4">
        <v>2217</v>
      </c>
      <c r="C44" s="4" t="s">
        <v>39</v>
      </c>
      <c r="D44" s="4" t="s">
        <v>82</v>
      </c>
      <c r="E44" s="4">
        <v>0</v>
      </c>
      <c r="F44" s="7"/>
    </row>
    <row r="45" spans="1:6" x14ac:dyDescent="0.15">
      <c r="A45" s="12"/>
      <c r="B45" s="4">
        <v>1927</v>
      </c>
      <c r="C45" s="4" t="s">
        <v>40</v>
      </c>
      <c r="D45" s="4" t="s">
        <v>83</v>
      </c>
      <c r="E45" s="4">
        <v>1607</v>
      </c>
      <c r="F45" s="7"/>
    </row>
    <row r="46" spans="1:6" x14ac:dyDescent="0.15">
      <c r="A46" s="12"/>
      <c r="B46" s="4">
        <v>1974</v>
      </c>
      <c r="C46" s="4" t="s">
        <v>41</v>
      </c>
      <c r="D46" s="4" t="s">
        <v>84</v>
      </c>
      <c r="E46" s="4">
        <v>579</v>
      </c>
      <c r="F46" s="7"/>
    </row>
    <row r="47" spans="1:6" x14ac:dyDescent="0.15">
      <c r="A47" s="12"/>
      <c r="B47" s="4">
        <v>1437</v>
      </c>
      <c r="C47" s="4" t="s">
        <v>42</v>
      </c>
      <c r="D47" s="4" t="s">
        <v>85</v>
      </c>
      <c r="E47" s="4">
        <v>0</v>
      </c>
      <c r="F47" s="7"/>
    </row>
    <row r="48" spans="1:6" x14ac:dyDescent="0.15">
      <c r="A48" s="12" t="s">
        <v>94</v>
      </c>
      <c r="B48" s="4">
        <v>805</v>
      </c>
      <c r="C48" s="4" t="s">
        <v>43</v>
      </c>
      <c r="D48" s="4" t="s">
        <v>86</v>
      </c>
      <c r="E48" s="4">
        <v>203</v>
      </c>
      <c r="F48" s="7">
        <f>SUM(E48:E50)/3</f>
        <v>86.333333333333329</v>
      </c>
    </row>
    <row r="49" spans="1:6" x14ac:dyDescent="0.15">
      <c r="A49" s="12"/>
      <c r="B49" s="4">
        <v>1259</v>
      </c>
      <c r="C49" s="4" t="s">
        <v>44</v>
      </c>
      <c r="D49" s="4" t="s">
        <v>87</v>
      </c>
      <c r="E49" s="4">
        <v>56</v>
      </c>
      <c r="F49" s="7"/>
    </row>
    <row r="50" spans="1:6" x14ac:dyDescent="0.15">
      <c r="A50" s="12"/>
      <c r="B50" s="4">
        <v>2195</v>
      </c>
      <c r="C50" s="4" t="s">
        <v>45</v>
      </c>
      <c r="D50" s="4" t="s">
        <v>88</v>
      </c>
      <c r="E50" s="4">
        <v>0</v>
      </c>
      <c r="F50" s="7"/>
    </row>
    <row r="51" spans="1:6" x14ac:dyDescent="0.15">
      <c r="A51" s="12" t="s">
        <v>107</v>
      </c>
      <c r="B51" s="4">
        <v>709</v>
      </c>
      <c r="C51" s="4" t="s">
        <v>95</v>
      </c>
      <c r="D51" s="4" t="s">
        <v>96</v>
      </c>
      <c r="E51" s="4">
        <v>0</v>
      </c>
      <c r="F51" s="7">
        <v>0</v>
      </c>
    </row>
    <row r="52" spans="1:6" x14ac:dyDescent="0.15">
      <c r="A52" s="13"/>
      <c r="B52" s="4">
        <v>1826</v>
      </c>
      <c r="C52" s="4" t="s">
        <v>97</v>
      </c>
      <c r="D52" s="4" t="s">
        <v>98</v>
      </c>
      <c r="E52" s="4">
        <v>0</v>
      </c>
      <c r="F52" s="8"/>
    </row>
    <row r="53" spans="1:6" x14ac:dyDescent="0.15">
      <c r="A53" s="13"/>
      <c r="B53" s="4">
        <v>1111</v>
      </c>
      <c r="C53" s="4" t="s">
        <v>99</v>
      </c>
      <c r="D53" s="4" t="s">
        <v>100</v>
      </c>
      <c r="E53" s="4">
        <v>0</v>
      </c>
      <c r="F53" s="8"/>
    </row>
    <row r="54" spans="1:6" x14ac:dyDescent="0.15">
      <c r="A54" s="13"/>
      <c r="B54" s="4">
        <v>1083</v>
      </c>
      <c r="C54" s="4" t="s">
        <v>101</v>
      </c>
      <c r="D54" s="4" t="s">
        <v>102</v>
      </c>
      <c r="E54" s="4">
        <v>0</v>
      </c>
      <c r="F54" s="8"/>
    </row>
    <row r="55" spans="1:6" x14ac:dyDescent="0.15">
      <c r="A55" s="13"/>
      <c r="B55" s="4">
        <v>1020</v>
      </c>
      <c r="C55" s="4" t="s">
        <v>103</v>
      </c>
      <c r="D55" s="4" t="s">
        <v>104</v>
      </c>
      <c r="E55" s="4">
        <v>0</v>
      </c>
      <c r="F55" s="8"/>
    </row>
    <row r="56" spans="1:6" x14ac:dyDescent="0.15">
      <c r="A56" s="13"/>
      <c r="B56" s="4">
        <v>1386</v>
      </c>
      <c r="C56" s="4" t="s">
        <v>105</v>
      </c>
      <c r="D56" s="4" t="s">
        <v>106</v>
      </c>
      <c r="E56" s="4">
        <v>0</v>
      </c>
      <c r="F56" s="8"/>
    </row>
    <row r="57" spans="1:6" x14ac:dyDescent="0.15">
      <c r="A57" s="3" t="s">
        <v>108</v>
      </c>
      <c r="B57" s="9"/>
      <c r="C57" s="10"/>
      <c r="D57" s="11"/>
      <c r="E57" s="5">
        <f>SUM(E2:E56)</f>
        <v>6987</v>
      </c>
      <c r="F57" s="6">
        <f>SUM(E2:E56)/57</f>
        <v>122.57894736842105</v>
      </c>
    </row>
  </sheetData>
  <mergeCells count="13">
    <mergeCell ref="B57:D57"/>
    <mergeCell ref="A2:A13"/>
    <mergeCell ref="A14:A24"/>
    <mergeCell ref="A25:A37"/>
    <mergeCell ref="A38:A47"/>
    <mergeCell ref="A48:A50"/>
    <mergeCell ref="A51:A56"/>
    <mergeCell ref="F51:F56"/>
    <mergeCell ref="F2:F13"/>
    <mergeCell ref="F14:F24"/>
    <mergeCell ref="F25:F37"/>
    <mergeCell ref="F38:F47"/>
    <mergeCell ref="F48:F50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董晓斌</cp:lastModifiedBy>
  <dcterms:created xsi:type="dcterms:W3CDTF">2025-05-09T01:55:53Z</dcterms:created>
  <dcterms:modified xsi:type="dcterms:W3CDTF">2025-08-01T05:26:33Z</dcterms:modified>
</cp:coreProperties>
</file>